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23-1002 MEC FF\INVOPT\Master\"/>
    </mc:Choice>
  </mc:AlternateContent>
  <xr:revisionPtr revIDLastSave="0" documentId="13_ncr:1_{48425D07-4423-48D8-93BA-45C96571B56D}" xr6:coauthVersionLast="47" xr6:coauthVersionMax="47" xr10:uidLastSave="{00000000-0000-0000-0000-000000000000}"/>
  <bookViews>
    <workbookView xWindow="4125" yWindow="0" windowWidth="13605" windowHeight="11970" xr2:uid="{0EE31C91-75CB-4343-8B0E-A6312AC6F279}"/>
  </bookViews>
  <sheets>
    <sheet name="Overview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1" l="1"/>
  <c r="AF3" i="1"/>
  <c r="T3" i="1"/>
  <c r="J3" i="1"/>
  <c r="K3" i="1"/>
  <c r="L3" i="1"/>
  <c r="M3" i="1"/>
  <c r="N3" i="1"/>
  <c r="O3" i="1"/>
  <c r="P3" i="1"/>
  <c r="Q3" i="1"/>
  <c r="R3" i="1"/>
  <c r="S3" i="1"/>
  <c r="U3" i="1"/>
  <c r="V3" i="1"/>
  <c r="W3" i="1"/>
  <c r="X3" i="1"/>
  <c r="Y3" i="1"/>
  <c r="Z3" i="1"/>
  <c r="AA3" i="1"/>
  <c r="AB3" i="1"/>
  <c r="AC3" i="1"/>
  <c r="AE3" i="1"/>
  <c r="I3" i="1"/>
</calcChain>
</file>

<file path=xl/sharedStrings.xml><?xml version="1.0" encoding="utf-8"?>
<sst xmlns="http://schemas.openxmlformats.org/spreadsheetml/2006/main" count="181" uniqueCount="167">
  <si>
    <t>ActualScenario</t>
  </si>
  <si>
    <t>ActualPeriod</t>
  </si>
  <si>
    <t>ActualYearScen</t>
  </si>
  <si>
    <t>DurationPeriod</t>
  </si>
  <si>
    <t>ActScen</t>
  </si>
  <si>
    <t>SaveTimestamp</t>
  </si>
  <si>
    <t>ActualMasterScen</t>
  </si>
  <si>
    <t>DumpPeriodsToGdx</t>
  </si>
  <si>
    <t>LenRollHorizon</t>
  </si>
  <si>
    <t>StepRollHorizon</t>
  </si>
  <si>
    <t>InterestRate</t>
  </si>
  <si>
    <t>InflationRate</t>
  </si>
  <si>
    <t>InvLenTransmPipe</t>
  </si>
  <si>
    <t>InvLenTransmPump</t>
  </si>
  <si>
    <t>YearStart</t>
  </si>
  <si>
    <t>PeriodFirst</t>
  </si>
  <si>
    <t>PeriodLast</t>
  </si>
  <si>
    <t>EpsDeltaCap</t>
  </si>
  <si>
    <t>EpsDeltaNPVLower</t>
  </si>
  <si>
    <t>EpsDeltaNPVUpper</t>
  </si>
  <si>
    <t>MaxIterBelowBest</t>
  </si>
  <si>
    <t>MasterIterMax</t>
  </si>
  <si>
    <t>AlfaVersion</t>
  </si>
  <si>
    <t>IterAlfaMax</t>
  </si>
  <si>
    <t>AlfaMin</t>
  </si>
  <si>
    <t>AlfaReducIndiv</t>
  </si>
  <si>
    <t>MinMaxDeltaCap</t>
  </si>
  <si>
    <t>MipGapMin</t>
  </si>
  <si>
    <t>OnMinCapacIncrement</t>
  </si>
  <si>
    <t>OnCapex0</t>
  </si>
  <si>
    <t>OnMaxProjNet</t>
  </si>
  <si>
    <t>OnMaxProjU</t>
  </si>
  <si>
    <t>OnMinProjSeqU</t>
  </si>
  <si>
    <t>WriteMasterOutput</t>
  </si>
  <si>
    <t>CO2EmisRegulRef</t>
  </si>
  <si>
    <t>CO2EmisPhysRef</t>
  </si>
  <si>
    <t>DemandYear</t>
  </si>
  <si>
    <t>ElspotYear</t>
  </si>
  <si>
    <t>PlanAheadDays</t>
  </si>
  <si>
    <t>DayHourVakFreeze</t>
  </si>
  <si>
    <t>QInfeasMax</t>
  </si>
  <si>
    <t>OnNpvPenalty</t>
  </si>
  <si>
    <t>AllowExcessCap</t>
  </si>
  <si>
    <t>ReserveCapQ</t>
  </si>
  <si>
    <t>OnVakStartFix</t>
  </si>
  <si>
    <t>OnPeriodicVak</t>
  </si>
  <si>
    <t>OnSlkGroup</t>
  </si>
  <si>
    <t>OnStartCostSlk</t>
  </si>
  <si>
    <t>OnKVV</t>
  </si>
  <si>
    <t>OnSV</t>
  </si>
  <si>
    <t>QSalgsprisAlle</t>
  </si>
  <si>
    <t>BottomLineScenMaster</t>
  </si>
  <si>
    <t>HoGk</t>
  </si>
  <si>
    <t>HoOk</t>
  </si>
  <si>
    <t>StGk</t>
  </si>
  <si>
    <t>StOk</t>
  </si>
  <si>
    <t>StEk</t>
  </si>
  <si>
    <t>MaNPtX</t>
  </si>
  <si>
    <t>HoNhpAir</t>
  </si>
  <si>
    <t>HoNhpSew</t>
  </si>
  <si>
    <t>HoNEk</t>
  </si>
  <si>
    <t>HoNhpArla</t>
  </si>
  <si>
    <t>HoNhpArla2</t>
  </si>
  <si>
    <t>StNhpAir</t>
  </si>
  <si>
    <t>StNhpSew</t>
  </si>
  <si>
    <t>StNhpSea</t>
  </si>
  <si>
    <t>StNFlis</t>
  </si>
  <si>
    <t>StNEk</t>
  </si>
  <si>
    <t>FoxHp</t>
  </si>
  <si>
    <t>EtaHeat</t>
  </si>
  <si>
    <t>EtaPower</t>
  </si>
  <si>
    <t>PowInMax</t>
  </si>
  <si>
    <t>PowerGen</t>
  </si>
  <si>
    <t>PowerNet</t>
  </si>
  <si>
    <t>SalesPower</t>
  </si>
  <si>
    <t>Unit stats</t>
  </si>
  <si>
    <t>VAK stats</t>
  </si>
  <si>
    <t>ModelStat</t>
  </si>
  <si>
    <t>SolveStat</t>
  </si>
  <si>
    <t>TimeSolve</t>
  </si>
  <si>
    <t>TimeSolverOnly</t>
  </si>
  <si>
    <t>NIteration</t>
  </si>
  <si>
    <t>NVar</t>
  </si>
  <si>
    <t>NDiscrVar</t>
  </si>
  <si>
    <t>NEquation</t>
  </si>
  <si>
    <t>NInfeas</t>
  </si>
  <si>
    <t>Objective</t>
  </si>
  <si>
    <t>ObjectiveBest</t>
  </si>
  <si>
    <t>Gap</t>
  </si>
  <si>
    <t>SumInfeas</t>
  </si>
  <si>
    <t>GAMS Job statistics</t>
  </si>
  <si>
    <t>SUM</t>
  </si>
  <si>
    <t>MWhq</t>
  </si>
  <si>
    <t>ton</t>
  </si>
  <si>
    <t>MWhf</t>
  </si>
  <si>
    <t>MWhe</t>
  </si>
  <si>
    <t>kr/MWhq</t>
  </si>
  <si>
    <t>kr</t>
  </si>
  <si>
    <t>MW</t>
  </si>
  <si>
    <t>MECoutput.xlsm</t>
  </si>
  <si>
    <t>DateTime</t>
  </si>
  <si>
    <t>ScenYear</t>
  </si>
  <si>
    <t>PeriodYear</t>
  </si>
  <si>
    <t>FoxHpOperHours</t>
  </si>
  <si>
    <t>FoxHpFLH</t>
  </si>
  <si>
    <t>FoxQfjv</t>
  </si>
  <si>
    <t>FoxQcool</t>
  </si>
  <si>
    <t>FoxQovCost</t>
  </si>
  <si>
    <t>FoxFuelConsumed</t>
  </si>
  <si>
    <t>FOX stats</t>
  </si>
  <si>
    <t>ScenMaster</t>
  </si>
  <si>
    <t>FoxHpCapac</t>
  </si>
  <si>
    <t>FoxActive</t>
  </si>
  <si>
    <t>ElspotPrice</t>
  </si>
  <si>
    <t>FoxOvPrice</t>
  </si>
  <si>
    <t>QRGK</t>
  </si>
  <si>
    <t>QRGKShare</t>
  </si>
  <si>
    <t>ElTilskud</t>
  </si>
  <si>
    <t>HeatSR</t>
  </si>
  <si>
    <t>HeatCoolMec</t>
  </si>
  <si>
    <t>SB22</t>
  </si>
  <si>
    <t>QLoss</t>
  </si>
  <si>
    <t>Turnover</t>
  </si>
  <si>
    <t>OnDuplicatePeriods</t>
  </si>
  <si>
    <t>OnTimeAggr</t>
  </si>
  <si>
    <t>AggrKind</t>
  </si>
  <si>
    <t>CountRollHorizon</t>
  </si>
  <si>
    <t>TimeBeginGlobal</t>
  </si>
  <si>
    <t>TimeEndGlobal</t>
  </si>
  <si>
    <t>RunTimesGlobal</t>
  </si>
  <si>
    <t>MaAff1</t>
  </si>
  <si>
    <t>MaAff2</t>
  </si>
  <si>
    <t>MaBio</t>
  </si>
  <si>
    <t>MaBioGas</t>
  </si>
  <si>
    <t>MaNAff</t>
  </si>
  <si>
    <t>MaVak</t>
  </si>
  <si>
    <t>StVak</t>
  </si>
  <si>
    <t>MaNVak2</t>
  </si>
  <si>
    <t>QDemandSumRef</t>
  </si>
  <si>
    <t>DemandYearReference</t>
  </si>
  <si>
    <t>FullLoadHours</t>
  </si>
  <si>
    <t>OperHours</t>
  </si>
  <si>
    <t>CO2QtyPhys</t>
  </si>
  <si>
    <t>CO2QtyRegul</t>
  </si>
  <si>
    <t>PowInU</t>
  </si>
  <si>
    <t>FuelQty</t>
  </si>
  <si>
    <t>FuelConsumed</t>
  </si>
  <si>
    <t>HeatGen</t>
  </si>
  <si>
    <t>HeatMargPrice</t>
  </si>
  <si>
    <t>TotalElIncome</t>
  </si>
  <si>
    <t>FuelCost</t>
  </si>
  <si>
    <t>DVCost</t>
  </si>
  <si>
    <t>StartCost</t>
  </si>
  <si>
    <t>TotalCost</t>
  </si>
  <si>
    <t>TotalTax</t>
  </si>
  <si>
    <t>ElSpotIncome</t>
  </si>
  <si>
    <t>ObjSumRH</t>
  </si>
  <si>
    <t>MipGapScheme</t>
  </si>
  <si>
    <t>MipGapMax</t>
  </si>
  <si>
    <t>NStart</t>
  </si>
  <si>
    <t>MasObjMinAbs</t>
  </si>
  <si>
    <t>MasObjMinRel</t>
  </si>
  <si>
    <t>MaEk</t>
  </si>
  <si>
    <t>MaNBk</t>
  </si>
  <si>
    <t>HeatCool</t>
  </si>
  <si>
    <t>per7</t>
  </si>
  <si>
    <t>scmas73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</si>
</sst>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\ hh:mm;@"/>
    <numFmt numFmtId="165" formatCode="0.0000"/>
    <numFmt numFmtId="166" formatCode="0.0%"/>
  </numFmts>
  <fonts count="4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4" fontId="0" fillId="0" borderId="0" xfId="0" applyNumberFormat="1"/>
    <xf numFmtId="0" fontId="1" fillId="0" borderId="0" xfId="0" applyFont="1"/>
    <xf numFmtId="0" fontId="1" fillId="0" borderId="0" xfId="0" quotePrefix="1" applyFon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1" fillId="2" borderId="0" xfId="0" applyFont="1" applyFill="1"/>
    <xf numFmtId="0" fontId="1" fillId="2" borderId="1" xfId="0" applyFont="1" applyFill="1" applyBorder="1"/>
    <xf numFmtId="0" fontId="1" fillId="2" borderId="1" xfId="0" quotePrefix="1" applyFont="1" applyFill="1" applyBorder="1" applyAlignment="1">
      <alignment horizontal="right"/>
    </xf>
    <xf numFmtId="1" fontId="0" fillId="0" borderId="0" xfId="0" applyNumberFormat="1"/>
    <xf numFmtId="0" fontId="1" fillId="2" borderId="0" xfId="0" quotePrefix="1" applyFont="1" applyFill="1"/>
    <xf numFmtId="0" fontId="1" fillId="2" borderId="1" xfId="0" quotePrefix="1" applyFont="1" applyFill="1" applyBorder="1" applyAlignment="1">
      <alignment horizontal="center"/>
    </xf>
    <xf numFmtId="166" fontId="0" fillId="0" borderId="0" xfId="1" applyNumberFormat="1" applyFont="1"/>
    <xf numFmtId="0" fontId="1" fillId="2" borderId="1" xfId="0" quotePrefix="1" applyFont="1" applyFill="1" applyBorder="1"/>
    <xf numFmtId="0" fontId="3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A86AD-0C1B-4623-A225-E6F1AA170FD7}">
  <dimension ref="A1:AG84"/>
  <sheetViews>
    <sheetView tabSelected="1" topLeftCell="E1" zoomScale="85" zoomScaleNormal="85" workbookViewId="0">
      <selection activeCell="L5" sqref="L5"/>
    </sheetView>
  </sheetViews>
  <sheetFormatPr defaultRowHeight="15" outlineLevelCol="1" x14ac:dyDescent="0.25"/>
  <cols>
    <col min="1" max="1" width="22" hidden="1" customWidth="1" outlineLevel="1"/>
    <col min="2" max="2" width="17.28515625" hidden="1" customWidth="1" outlineLevel="1"/>
    <col min="3" max="3" width="9.140625" hidden="1" customWidth="1" outlineLevel="1"/>
    <col min="4" max="4" width="12.140625" hidden="1" customWidth="1" outlineLevel="1"/>
    <col min="5" max="5" width="18.140625" bestFit="1" customWidth="1" collapsed="1"/>
    <col min="6" max="6" width="9.140625" bestFit="1" customWidth="1"/>
    <col min="7" max="7" width="10.85546875" bestFit="1" customWidth="1"/>
    <col min="8" max="8" width="10.42578125" bestFit="1" customWidth="1"/>
    <col min="9" max="9" width="13.7109375" bestFit="1" customWidth="1"/>
    <col min="10" max="10" width="10.85546875" bestFit="1" customWidth="1"/>
    <col min="11" max="11" width="11" bestFit="1" customWidth="1"/>
    <col min="12" max="12" width="11.85546875" bestFit="1" customWidth="1"/>
    <col min="13" max="13" width="16.28515625" bestFit="1" customWidth="1"/>
    <col min="14" max="14" width="11.5703125" bestFit="1" customWidth="1"/>
    <col min="15" max="15" width="12.42578125" bestFit="1" customWidth="1"/>
    <col min="16" max="16" width="14.42578125" bestFit="1" customWidth="1"/>
    <col min="17" max="17" width="11.5703125" bestFit="1" customWidth="1"/>
    <col min="18" max="18" width="17.7109375" bestFit="1" customWidth="1"/>
    <col min="19" max="19" width="12.140625" customWidth="1"/>
    <col min="20" max="20" width="10" bestFit="1" customWidth="1"/>
    <col min="21" max="21" width="9.5703125" bestFit="1" customWidth="1"/>
    <col min="22" max="23" width="14.28515625" bestFit="1" customWidth="1"/>
    <col min="24" max="24" width="11.28515625" bestFit="1" customWidth="1"/>
    <col min="25" max="26" width="13.7109375" bestFit="1" customWidth="1"/>
    <col min="27" max="27" width="11.140625" bestFit="1" customWidth="1"/>
    <col min="28" max="28" width="10.5703125" bestFit="1" customWidth="1"/>
    <col min="29" max="29" width="8.85546875" bestFit="1" customWidth="1"/>
    <col min="30" max="31" width="10.5703125" bestFit="1" customWidth="1"/>
    <col min="32" max="32" width="12.42578125" bestFit="1" customWidth="1"/>
  </cols>
  <sheetData>
    <row r="1" spans="1:33" x14ac:dyDescent="0.25">
      <c r="A1" s="10" t="s">
        <v>99</v>
      </c>
      <c r="E1" s="18" t="str">
        <f>B4</f>
        <v>per7</v>
      </c>
    </row>
    <row r="2" spans="1:33" x14ac:dyDescent="0.25">
      <c r="H2" s="7" t="s">
        <v>98</v>
      </c>
      <c r="I2" s="7" t="s">
        <v>92</v>
      </c>
      <c r="J2" s="7"/>
      <c r="K2" s="7"/>
      <c r="L2" s="7" t="s">
        <v>93</v>
      </c>
      <c r="M2" s="7" t="s">
        <v>93</v>
      </c>
      <c r="N2" s="7" t="s">
        <v>94</v>
      </c>
      <c r="O2" s="7"/>
      <c r="P2" s="7" t="s">
        <v>94</v>
      </c>
      <c r="Q2" s="7" t="s">
        <v>95</v>
      </c>
      <c r="R2" s="7" t="s">
        <v>95</v>
      </c>
      <c r="S2" s="7" t="s">
        <v>92</v>
      </c>
      <c r="T2" s="7" t="s">
        <v>92</v>
      </c>
      <c r="U2" s="7" t="s">
        <v>96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</row>
    <row r="3" spans="1:33" x14ac:dyDescent="0.25">
      <c r="A3" t="s">
        <v>0</v>
      </c>
      <c r="B3" s="6" t="s">
        <v>166</v>
      </c>
      <c r="E3" s="5" t="s">
        <v>91</v>
      </c>
      <c r="H3" s="4"/>
      <c r="I3" s="3">
        <f>SUM(I5:I29)</f>
        <v>60432</v>
      </c>
      <c r="J3" s="3">
        <f t="shared" ref="J3:AF3" si="0">SUM(J5:J29)</f>
        <v>0.23123127841891605</v>
      </c>
      <c r="K3" s="3">
        <f t="shared" si="0"/>
        <v>22720.931572645266</v>
      </c>
      <c r="L3" s="3">
        <f t="shared" si="0"/>
        <v>41164</v>
      </c>
      <c r="M3" s="3">
        <f t="shared" si="0"/>
        <v>79</v>
      </c>
      <c r="N3" s="3">
        <f t="shared" si="0"/>
        <v>260662.89251741307</v>
      </c>
      <c r="O3" s="3">
        <f t="shared" si="0"/>
        <v>108503.37334843632</v>
      </c>
      <c r="P3" s="3">
        <f t="shared" si="0"/>
        <v>845015.45204067498</v>
      </c>
      <c r="Q3" s="3">
        <f t="shared" si="0"/>
        <v>81406.829928322986</v>
      </c>
      <c r="R3" s="3">
        <f t="shared" si="0"/>
        <v>845015.45204067498</v>
      </c>
      <c r="S3" s="3">
        <f t="shared" si="0"/>
        <v>197667.66538053498</v>
      </c>
      <c r="T3" s="3">
        <f t="shared" ref="T3" si="1">SUM(T5:T29)</f>
        <v>173701.89755228651</v>
      </c>
      <c r="U3" s="3">
        <f t="shared" si="0"/>
        <v>638976.58743762528</v>
      </c>
      <c r="V3" s="3">
        <f t="shared" si="0"/>
        <v>36646.876569868567</v>
      </c>
      <c r="W3" s="3">
        <f t="shared" si="0"/>
        <v>4253.3178221945009</v>
      </c>
      <c r="X3" s="3">
        <f t="shared" si="0"/>
        <v>99766383.991801262</v>
      </c>
      <c r="Y3" s="3">
        <f t="shared" si="0"/>
        <v>4E-14</v>
      </c>
      <c r="Z3" s="3">
        <f t="shared" si="0"/>
        <v>99766383.991801262</v>
      </c>
      <c r="AA3" s="3">
        <f t="shared" si="0"/>
        <v>8472137.7666318677</v>
      </c>
      <c r="AB3" s="3">
        <f t="shared" si="0"/>
        <v>32797315.408873644</v>
      </c>
      <c r="AC3" s="3">
        <f t="shared" si="0"/>
        <v>242500</v>
      </c>
      <c r="AD3" s="3"/>
      <c r="AE3" s="3">
        <f t="shared" si="0"/>
        <v>70253227.485452473</v>
      </c>
      <c r="AF3" s="3">
        <f t="shared" si="0"/>
        <v>98041805.5378609</v>
      </c>
    </row>
    <row r="4" spans="1:33" x14ac:dyDescent="0.25">
      <c r="A4" t="s">
        <v>1</v>
      </c>
      <c r="B4" s="1" t="s">
        <v>165</v>
      </c>
      <c r="E4" s="11" t="s">
        <v>75</v>
      </c>
      <c r="F4" s="15" t="s">
        <v>69</v>
      </c>
      <c r="G4" s="15" t="s">
        <v>70</v>
      </c>
      <c r="H4" s="15" t="s">
        <v>71</v>
      </c>
      <c r="I4" s="15" t="s">
        <v>115</v>
      </c>
      <c r="J4" s="15" t="s">
        <v>116</v>
      </c>
      <c r="K4" s="15" t="s">
        <v>140</v>
      </c>
      <c r="L4" s="15" t="s">
        <v>141</v>
      </c>
      <c r="M4" s="15" t="s">
        <v>159</v>
      </c>
      <c r="N4" s="15" t="s">
        <v>142</v>
      </c>
      <c r="O4" s="15" t="s">
        <v>143</v>
      </c>
      <c r="P4" s="15" t="s">
        <v>144</v>
      </c>
      <c r="Q4" s="15" t="s">
        <v>145</v>
      </c>
      <c r="R4" s="15" t="s">
        <v>146</v>
      </c>
      <c r="S4" s="15" t="s">
        <v>72</v>
      </c>
      <c r="T4" s="15" t="s">
        <v>73</v>
      </c>
      <c r="U4" s="15" t="s">
        <v>147</v>
      </c>
      <c r="V4" s="15" t="s">
        <v>164</v>
      </c>
      <c r="W4" s="15" t="s">
        <v>148</v>
      </c>
      <c r="X4" s="15" t="s">
        <v>74</v>
      </c>
      <c r="Y4" s="15" t="s">
        <v>117</v>
      </c>
      <c r="Z4" s="15" t="s">
        <v>149</v>
      </c>
      <c r="AA4" s="15" t="s">
        <v>150</v>
      </c>
      <c r="AB4" s="15" t="s">
        <v>151</v>
      </c>
      <c r="AC4" s="15" t="s">
        <v>152</v>
      </c>
      <c r="AD4" s="12" t="s">
        <v>153</v>
      </c>
      <c r="AE4" s="12" t="s">
        <v>154</v>
      </c>
      <c r="AF4" s="12" t="s">
        <v>155</v>
      </c>
      <c r="AG4" s="1"/>
    </row>
    <row r="5" spans="1:33" x14ac:dyDescent="0.25">
      <c r="A5" t="s">
        <v>2</v>
      </c>
      <c r="B5" s="1" t="s">
        <v>120</v>
      </c>
      <c r="E5" s="1" t="s">
        <v>52</v>
      </c>
      <c r="F5" s="16">
        <v>0.9</v>
      </c>
      <c r="G5" s="16"/>
      <c r="H5" s="4">
        <v>58.888888888888886</v>
      </c>
      <c r="I5" s="3"/>
      <c r="J5" s="3"/>
      <c r="K5" s="3">
        <v>90.23706386791909</v>
      </c>
      <c r="L5" s="3">
        <v>928</v>
      </c>
      <c r="M5" s="3"/>
      <c r="N5" s="3">
        <v>1282.0673486473008</v>
      </c>
      <c r="O5" s="3">
        <v>1085.4508128195339</v>
      </c>
      <c r="P5" s="3">
        <v>5313.960427777457</v>
      </c>
      <c r="Q5" s="3">
        <v>134.08257034157899</v>
      </c>
      <c r="R5" s="3">
        <v>5313.960427777457</v>
      </c>
      <c r="S5" s="3">
        <v>1E-14</v>
      </c>
      <c r="T5" s="3">
        <v>1E-14</v>
      </c>
      <c r="U5" s="3">
        <v>4782.5643849997159</v>
      </c>
      <c r="V5" s="3"/>
      <c r="W5" s="3">
        <v>789.30937243445783</v>
      </c>
      <c r="X5" s="3"/>
      <c r="Y5" s="3"/>
      <c r="Z5" s="3"/>
      <c r="AA5" s="3">
        <v>2277477.4633876388</v>
      </c>
      <c r="AB5" s="3">
        <v>39217.027956997663</v>
      </c>
      <c r="AC5" s="3"/>
      <c r="AD5" s="3">
        <v>3774922.8933515144</v>
      </c>
      <c r="AE5" s="3">
        <v>1458228.4020068769</v>
      </c>
      <c r="AF5" s="3"/>
    </row>
    <row r="6" spans="1:33" x14ac:dyDescent="0.25">
      <c r="A6" t="s">
        <v>3</v>
      </c>
      <c r="B6" s="1">
        <v>8760</v>
      </c>
      <c r="E6" s="1" t="s">
        <v>53</v>
      </c>
      <c r="F6" s="16">
        <v>0.9</v>
      </c>
      <c r="G6" s="16"/>
      <c r="H6" s="4">
        <v>34.888888888888886</v>
      </c>
      <c r="I6" s="3"/>
      <c r="J6" s="3"/>
      <c r="K6" s="3"/>
      <c r="L6" s="3"/>
      <c r="M6" s="3"/>
      <c r="N6" s="3"/>
      <c r="O6" s="3"/>
      <c r="P6" s="3"/>
      <c r="Q6" s="3"/>
      <c r="R6" s="3"/>
      <c r="S6" s="3">
        <v>1E-14</v>
      </c>
      <c r="T6" s="3">
        <v>1E-14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3" x14ac:dyDescent="0.25">
      <c r="A7" t="s">
        <v>4</v>
      </c>
      <c r="E7" s="1" t="s">
        <v>54</v>
      </c>
      <c r="F7" s="16">
        <v>0.9</v>
      </c>
      <c r="G7" s="16"/>
      <c r="H7" s="4">
        <v>32.111111111111107</v>
      </c>
      <c r="I7" s="3"/>
      <c r="J7" s="3"/>
      <c r="K7" s="3">
        <v>283.24029264920199</v>
      </c>
      <c r="L7" s="3">
        <v>654</v>
      </c>
      <c r="M7" s="3">
        <v>50</v>
      </c>
      <c r="N7" s="3">
        <v>2194.3348048991347</v>
      </c>
      <c r="O7" s="3">
        <v>1857.8138660882535</v>
      </c>
      <c r="P7" s="3">
        <v>9095.1605084021521</v>
      </c>
      <c r="Q7" s="3">
        <v>229.49032368798262</v>
      </c>
      <c r="R7" s="3">
        <v>9095.1605084021521</v>
      </c>
      <c r="S7" s="3">
        <v>1E-14</v>
      </c>
      <c r="T7" s="3">
        <v>1E-14</v>
      </c>
      <c r="U7" s="3">
        <v>8185.6444575619134</v>
      </c>
      <c r="V7" s="3"/>
      <c r="W7" s="3">
        <v>794.36349970930053</v>
      </c>
      <c r="X7" s="3"/>
      <c r="Y7" s="3"/>
      <c r="Z7" s="3"/>
      <c r="AA7" s="3">
        <v>3898038.6409167601</v>
      </c>
      <c r="AB7" s="3">
        <v>83493.573467131515</v>
      </c>
      <c r="AC7" s="3">
        <v>25000</v>
      </c>
      <c r="AD7" s="3">
        <v>6502377.1786849201</v>
      </c>
      <c r="AE7" s="3">
        <v>2495844.9643010288</v>
      </c>
      <c r="AF7" s="3"/>
    </row>
    <row r="8" spans="1:33" x14ac:dyDescent="0.25">
      <c r="A8" s="1" t="s">
        <v>5</v>
      </c>
      <c r="B8" s="2">
        <v>45021.516353703701</v>
      </c>
      <c r="E8" s="1" t="s">
        <v>55</v>
      </c>
      <c r="F8" s="16">
        <v>0.9</v>
      </c>
      <c r="G8" s="16"/>
      <c r="H8" s="4">
        <v>18</v>
      </c>
      <c r="I8" s="3"/>
      <c r="J8" s="3"/>
      <c r="K8" s="3">
        <v>5.000000000000001E-2</v>
      </c>
      <c r="L8" s="3">
        <v>1</v>
      </c>
      <c r="M8" s="3">
        <v>1</v>
      </c>
      <c r="N8" s="3">
        <v>0.28673280000000001</v>
      </c>
      <c r="O8" s="3">
        <v>0.25343280000000007</v>
      </c>
      <c r="P8" s="3">
        <v>0.90000000000000013</v>
      </c>
      <c r="Q8" s="3">
        <v>2.5090604962364101E-2</v>
      </c>
      <c r="R8" s="3">
        <v>0.90000000000000013</v>
      </c>
      <c r="S8" s="3">
        <v>1E-14</v>
      </c>
      <c r="T8" s="3">
        <v>1E-14</v>
      </c>
      <c r="U8" s="3">
        <v>0.81</v>
      </c>
      <c r="V8" s="3"/>
      <c r="W8" s="3">
        <v>1432.069592649204</v>
      </c>
      <c r="X8" s="3"/>
      <c r="Y8" s="3"/>
      <c r="Z8" s="3"/>
      <c r="AA8" s="3">
        <v>348.63195395831002</v>
      </c>
      <c r="AB8" s="3">
        <v>8.2620000000000005</v>
      </c>
      <c r="AC8" s="3">
        <v>500</v>
      </c>
      <c r="AD8" s="3">
        <v>1159.9763700458552</v>
      </c>
      <c r="AE8" s="3">
        <v>303.0824160875452</v>
      </c>
      <c r="AF8" s="3"/>
    </row>
    <row r="9" spans="1:33" x14ac:dyDescent="0.25">
      <c r="A9" s="1" t="s">
        <v>6</v>
      </c>
      <c r="B9">
        <v>1</v>
      </c>
      <c r="E9" s="1" t="s">
        <v>56</v>
      </c>
      <c r="F9" s="16">
        <v>1</v>
      </c>
      <c r="G9" s="16"/>
      <c r="H9" s="4">
        <v>0.9</v>
      </c>
      <c r="I9" s="3"/>
      <c r="J9" s="3"/>
      <c r="K9" s="3">
        <v>213.85330590640194</v>
      </c>
      <c r="L9" s="3">
        <v>387</v>
      </c>
      <c r="M9" s="3">
        <v>20</v>
      </c>
      <c r="N9" s="3">
        <v>7.9125723185368031</v>
      </c>
      <c r="O9" s="3"/>
      <c r="P9" s="3">
        <v>213.85330590640194</v>
      </c>
      <c r="Q9" s="3">
        <v>5.9403696085111146E-2</v>
      </c>
      <c r="R9" s="3">
        <v>213.85330590640194</v>
      </c>
      <c r="S9" s="3">
        <v>1E-14</v>
      </c>
      <c r="T9" s="3">
        <v>1E-14</v>
      </c>
      <c r="U9" s="3">
        <v>213.85330590640194</v>
      </c>
      <c r="V9" s="3"/>
      <c r="W9" s="3">
        <v>532.84390678313673</v>
      </c>
      <c r="X9" s="3"/>
      <c r="Y9" s="3"/>
      <c r="Z9" s="3"/>
      <c r="AA9" s="3">
        <v>106870.94339260418</v>
      </c>
      <c r="AB9" s="3">
        <v>2224.0743814265611</v>
      </c>
      <c r="AC9" s="3">
        <v>4000</v>
      </c>
      <c r="AD9" s="3">
        <v>113950.43099765647</v>
      </c>
      <c r="AE9" s="3">
        <v>855.41322362560777</v>
      </c>
      <c r="AF9" s="3"/>
    </row>
    <row r="10" spans="1:33" x14ac:dyDescent="0.25">
      <c r="A10" s="1" t="s">
        <v>2</v>
      </c>
      <c r="B10">
        <v>1</v>
      </c>
      <c r="E10" s="1" t="s">
        <v>130</v>
      </c>
      <c r="F10" s="16">
        <v>0.66</v>
      </c>
      <c r="G10" s="16">
        <v>0.21</v>
      </c>
      <c r="H10" s="4">
        <v>53.878787878787882</v>
      </c>
      <c r="I10" s="3">
        <v>29982</v>
      </c>
      <c r="J10" s="3">
        <v>0.11467071396845439</v>
      </c>
      <c r="K10" s="3">
        <v>4752.227135724349</v>
      </c>
      <c r="L10" s="3">
        <v>8255</v>
      </c>
      <c r="M10" s="3">
        <v>1</v>
      </c>
      <c r="N10" s="3">
        <v>73996.784723475648</v>
      </c>
      <c r="O10" s="3">
        <v>52779.935002613616</v>
      </c>
      <c r="P10" s="3">
        <v>256044.23779751192</v>
      </c>
      <c r="Q10" s="3">
        <v>27238.748701858243</v>
      </c>
      <c r="R10" s="3">
        <v>256044.23779751192</v>
      </c>
      <c r="S10" s="3">
        <v>53769.289937468027</v>
      </c>
      <c r="T10" s="3">
        <v>55289.844714642473</v>
      </c>
      <c r="U10" s="3">
        <v>207692.41168102867</v>
      </c>
      <c r="V10" s="3">
        <v>17924.856332538944</v>
      </c>
      <c r="W10" s="3">
        <v>84.079885377482185</v>
      </c>
      <c r="X10" s="3">
        <v>31562880.154025976</v>
      </c>
      <c r="Y10" s="3">
        <v>1E-14</v>
      </c>
      <c r="Z10" s="3">
        <v>31562880.154025976</v>
      </c>
      <c r="AA10" s="3">
        <v>-30955748.349718314</v>
      </c>
      <c r="AB10" s="3">
        <v>12089847.738684807</v>
      </c>
      <c r="AC10" s="3">
        <v>31000</v>
      </c>
      <c r="AD10" s="3">
        <v>49025634.321942538</v>
      </c>
      <c r="AE10" s="3">
        <v>32966224.562534239</v>
      </c>
      <c r="AF10" s="3">
        <v>31026568.660293844</v>
      </c>
    </row>
    <row r="11" spans="1:33" x14ac:dyDescent="0.25">
      <c r="A11" s="1" t="s">
        <v>7</v>
      </c>
      <c r="B11">
        <v>1E-14</v>
      </c>
      <c r="E11" s="1" t="s">
        <v>131</v>
      </c>
      <c r="F11" s="16">
        <v>0.66</v>
      </c>
      <c r="G11" s="16">
        <v>0.21</v>
      </c>
      <c r="H11" s="4">
        <v>53.878787878787882</v>
      </c>
      <c r="I11" s="3">
        <v>30450</v>
      </c>
      <c r="J11" s="3">
        <v>0.11656056445044168</v>
      </c>
      <c r="K11" s="3">
        <v>4752.2258059904534</v>
      </c>
      <c r="L11" s="3">
        <v>8255</v>
      </c>
      <c r="M11" s="3">
        <v>1</v>
      </c>
      <c r="N11" s="3">
        <v>73996.764018229398</v>
      </c>
      <c r="O11" s="3">
        <v>52779.920234114921</v>
      </c>
      <c r="P11" s="3">
        <v>256044.16615306141</v>
      </c>
      <c r="Q11" s="3">
        <v>27238.741080107207</v>
      </c>
      <c r="R11" s="3">
        <v>256044.16615306141</v>
      </c>
      <c r="S11" s="3">
        <v>53769.274892133551</v>
      </c>
      <c r="T11" s="3">
        <v>55981.884207934003</v>
      </c>
      <c r="U11" s="3">
        <v>207468.30699128722</v>
      </c>
      <c r="V11" s="3">
        <v>18722.020237329623</v>
      </c>
      <c r="W11" s="3">
        <v>87.738389472802254</v>
      </c>
      <c r="X11" s="3">
        <v>31724507.263248831</v>
      </c>
      <c r="Y11" s="3">
        <v>1E-14</v>
      </c>
      <c r="Z11" s="3">
        <v>31724507.263248831</v>
      </c>
      <c r="AA11" s="3">
        <v>-30955739.68790428</v>
      </c>
      <c r="AB11" s="3">
        <v>13118888.30765051</v>
      </c>
      <c r="AC11" s="3">
        <v>32000</v>
      </c>
      <c r="AD11" s="3">
        <v>49927442.385310963</v>
      </c>
      <c r="AE11" s="3">
        <v>32841053.047741719</v>
      </c>
      <c r="AF11" s="3">
        <v>31181482.986431878</v>
      </c>
    </row>
    <row r="12" spans="1:33" x14ac:dyDescent="0.25">
      <c r="A12" s="1" t="s">
        <v>14</v>
      </c>
      <c r="B12">
        <v>2025</v>
      </c>
      <c r="E12" s="1" t="s">
        <v>132</v>
      </c>
      <c r="F12" s="16">
        <v>0.624</v>
      </c>
      <c r="G12" s="16">
        <v>0.25600000000000001</v>
      </c>
      <c r="H12" s="4">
        <v>70.512820512820511</v>
      </c>
      <c r="I12" s="3">
        <v>1E-14</v>
      </c>
      <c r="J12" s="3">
        <v>1E-14</v>
      </c>
      <c r="K12" s="3">
        <v>3501.1552297633179</v>
      </c>
      <c r="L12" s="3">
        <v>5164</v>
      </c>
      <c r="M12" s="3">
        <v>6</v>
      </c>
      <c r="N12" s="3">
        <v>106541.94910590841</v>
      </c>
      <c r="O12" s="3"/>
      <c r="P12" s="3">
        <v>246876.33030382369</v>
      </c>
      <c r="Q12" s="3">
        <v>26545.841968153545</v>
      </c>
      <c r="R12" s="3">
        <v>246876.33030382369</v>
      </c>
      <c r="S12" s="3">
        <v>63200.340557779396</v>
      </c>
      <c r="T12" s="3">
        <v>35983.470174306727</v>
      </c>
      <c r="U12" s="3">
        <v>181267.70049304559</v>
      </c>
      <c r="V12" s="3"/>
      <c r="W12" s="3">
        <v>181.70099671071307</v>
      </c>
      <c r="X12" s="3">
        <v>21477340.041520633</v>
      </c>
      <c r="Y12" s="3">
        <v>1E-14</v>
      </c>
      <c r="Z12" s="3">
        <v>21477340.041520633</v>
      </c>
      <c r="AA12" s="3">
        <v>46264067.023807049</v>
      </c>
      <c r="AB12" s="3">
        <v>7406289.9091137853</v>
      </c>
      <c r="AC12" s="3">
        <v>150000</v>
      </c>
      <c r="AD12" s="3">
        <v>54413861.892566986</v>
      </c>
      <c r="AE12" s="3">
        <v>444377.39454687748</v>
      </c>
      <c r="AF12" s="3">
        <v>21128300.380829886</v>
      </c>
    </row>
    <row r="13" spans="1:33" x14ac:dyDescent="0.25">
      <c r="A13" s="1" t="s">
        <v>15</v>
      </c>
      <c r="B13">
        <v>7</v>
      </c>
      <c r="E13" s="1" t="s">
        <v>133</v>
      </c>
      <c r="F13" s="16">
        <v>0.3</v>
      </c>
      <c r="G13" s="16">
        <v>0.45</v>
      </c>
      <c r="H13" s="4">
        <v>6.8000000000000007</v>
      </c>
      <c r="I13" s="3">
        <v>1E-14</v>
      </c>
      <c r="J13" s="3">
        <v>1E-14</v>
      </c>
      <c r="K13" s="3">
        <v>8800.2483637780097</v>
      </c>
      <c r="L13" s="3">
        <v>8760</v>
      </c>
      <c r="M13" s="3"/>
      <c r="N13" s="3">
        <v>2214.1424883261229</v>
      </c>
      <c r="O13" s="3"/>
      <c r="P13" s="3">
        <v>59841.688873690473</v>
      </c>
      <c r="Q13" s="3">
        <v>16.622691353802164</v>
      </c>
      <c r="R13" s="3">
        <v>59841.688873690473</v>
      </c>
      <c r="S13" s="3">
        <v>26928.759993154003</v>
      </c>
      <c r="T13" s="3">
        <v>26446.698455403322</v>
      </c>
      <c r="U13" s="3">
        <v>17895.992999999318</v>
      </c>
      <c r="V13" s="3"/>
      <c r="W13" s="3">
        <v>-169.49709123540072</v>
      </c>
      <c r="X13" s="3">
        <v>15001656.533005841</v>
      </c>
      <c r="Y13" s="3">
        <v>1E-14</v>
      </c>
      <c r="Z13" s="3">
        <v>15001656.533005841</v>
      </c>
      <c r="AA13" s="3">
        <v>11968337.774738384</v>
      </c>
      <c r="AB13" s="3"/>
      <c r="AC13" s="3"/>
      <c r="AD13" s="3">
        <v>11968337.774738384</v>
      </c>
      <c r="AE13" s="3"/>
      <c r="AF13" s="3">
        <v>14705453.510305291</v>
      </c>
    </row>
    <row r="14" spans="1:33" x14ac:dyDescent="0.25">
      <c r="A14" s="1" t="s">
        <v>16</v>
      </c>
      <c r="B14">
        <v>7</v>
      </c>
      <c r="E14" s="1" t="s">
        <v>162</v>
      </c>
      <c r="F14" s="16">
        <v>0.99</v>
      </c>
      <c r="G14" s="16"/>
      <c r="H14" s="4">
        <v>35.353535353535356</v>
      </c>
      <c r="I14" s="3"/>
      <c r="J14" s="3"/>
      <c r="K14" s="3">
        <v>327.6943749656142</v>
      </c>
      <c r="L14" s="3">
        <v>8760</v>
      </c>
      <c r="M14" s="3"/>
      <c r="N14" s="3">
        <v>428.65072280855833</v>
      </c>
      <c r="O14" s="3"/>
      <c r="P14" s="3">
        <v>11585.154670501513</v>
      </c>
      <c r="Q14" s="3">
        <v>3.2180985195837502</v>
      </c>
      <c r="R14" s="3">
        <v>11585.154670501513</v>
      </c>
      <c r="S14" s="3">
        <v>1E-14</v>
      </c>
      <c r="T14" s="3">
        <v>1E-14</v>
      </c>
      <c r="U14" s="3">
        <v>11469.303123796495</v>
      </c>
      <c r="V14" s="3"/>
      <c r="W14" s="3">
        <v>520.70927029280449</v>
      </c>
      <c r="X14" s="3"/>
      <c r="Y14" s="3"/>
      <c r="Z14" s="3"/>
      <c r="AA14" s="3">
        <v>5868485.3260580646</v>
      </c>
      <c r="AB14" s="3">
        <v>57346.515618982485</v>
      </c>
      <c r="AC14" s="3"/>
      <c r="AD14" s="3">
        <v>5972172.4603590555</v>
      </c>
      <c r="AE14" s="3">
        <v>46340.618682006054</v>
      </c>
      <c r="AF14" s="3"/>
    </row>
    <row r="15" spans="1:33" x14ac:dyDescent="0.25">
      <c r="A15" s="1" t="s">
        <v>3</v>
      </c>
      <c r="B15">
        <v>8760</v>
      </c>
      <c r="E15" s="1" t="s">
        <v>134</v>
      </c>
      <c r="F15" s="16">
        <v>0.66</v>
      </c>
      <c r="G15" s="16">
        <v>0.21</v>
      </c>
      <c r="H15" s="4"/>
      <c r="I15" s="3"/>
      <c r="J15" s="3"/>
      <c r="K15" s="3"/>
      <c r="L15" s="3"/>
      <c r="M15" s="3"/>
      <c r="N15" s="3"/>
      <c r="O15" s="3"/>
      <c r="P15" s="3"/>
      <c r="Q15" s="3"/>
      <c r="R15" s="3"/>
      <c r="S15" s="3">
        <v>1E-14</v>
      </c>
      <c r="T15" s="3">
        <v>1E-14</v>
      </c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3" x14ac:dyDescent="0.25">
      <c r="A16" s="1" t="s">
        <v>123</v>
      </c>
      <c r="B16">
        <v>1E-14</v>
      </c>
      <c r="E16" s="1" t="s">
        <v>57</v>
      </c>
      <c r="F16" s="16">
        <v>1</v>
      </c>
      <c r="G16" s="16"/>
      <c r="H16" s="4"/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1E-14</v>
      </c>
      <c r="T16" s="3">
        <v>1E-14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 x14ac:dyDescent="0.25">
      <c r="A17" s="1" t="s">
        <v>124</v>
      </c>
      <c r="B17">
        <v>1E-14</v>
      </c>
      <c r="E17" s="1" t="s">
        <v>58</v>
      </c>
      <c r="F17" s="16"/>
      <c r="G17" s="16"/>
      <c r="H17" s="4"/>
      <c r="I17" s="3"/>
      <c r="J17" s="3"/>
      <c r="K17" s="3"/>
      <c r="L17" s="3"/>
      <c r="M17" s="3"/>
      <c r="N17" s="3"/>
      <c r="O17" s="3"/>
      <c r="P17" s="3"/>
      <c r="Q17" s="3"/>
      <c r="R17" s="3"/>
      <c r="S17" s="3">
        <v>1E-14</v>
      </c>
      <c r="T17" s="3">
        <v>1E-14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 x14ac:dyDescent="0.25">
      <c r="A18" s="1" t="s">
        <v>125</v>
      </c>
      <c r="B18">
        <v>1E-14</v>
      </c>
      <c r="E18" s="1" t="s">
        <v>59</v>
      </c>
      <c r="F18" s="16"/>
      <c r="G18" s="16"/>
      <c r="H18" s="4"/>
      <c r="I18" s="3"/>
      <c r="J18" s="3"/>
      <c r="K18" s="3"/>
      <c r="L18" s="3"/>
      <c r="M18" s="3"/>
      <c r="N18" s="3"/>
      <c r="O18" s="3"/>
      <c r="P18" s="3"/>
      <c r="Q18" s="3"/>
      <c r="R18" s="3"/>
      <c r="S18" s="3">
        <v>1E-14</v>
      </c>
      <c r="T18" s="3">
        <v>1E-14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 x14ac:dyDescent="0.25">
      <c r="A19" s="1" t="s">
        <v>8</v>
      </c>
      <c r="B19">
        <v>437</v>
      </c>
      <c r="E19" s="1" t="s">
        <v>60</v>
      </c>
      <c r="F19" s="16">
        <v>0.99</v>
      </c>
      <c r="G19" s="16"/>
      <c r="H19" s="4"/>
      <c r="I19" s="3"/>
      <c r="J19" s="3"/>
      <c r="K19" s="3"/>
      <c r="L19" s="3"/>
      <c r="M19" s="3"/>
      <c r="N19" s="3"/>
      <c r="O19" s="3"/>
      <c r="P19" s="3"/>
      <c r="Q19" s="3"/>
      <c r="R19" s="3"/>
      <c r="S19" s="3">
        <v>1E-14</v>
      </c>
      <c r="T19" s="3">
        <v>1E-14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x14ac:dyDescent="0.25">
      <c r="A20" s="1" t="s">
        <v>9</v>
      </c>
      <c r="B20">
        <v>365</v>
      </c>
      <c r="E20" s="1" t="s">
        <v>61</v>
      </c>
      <c r="F20" s="16"/>
      <c r="G20" s="16"/>
      <c r="H20" s="4"/>
      <c r="I20" s="3"/>
      <c r="J20" s="3"/>
      <c r="K20" s="3"/>
      <c r="L20" s="3"/>
      <c r="M20" s="3"/>
      <c r="N20" s="3"/>
      <c r="O20" s="3"/>
      <c r="P20" s="3"/>
      <c r="Q20" s="3"/>
      <c r="R20" s="3"/>
      <c r="S20" s="3">
        <v>1E-14</v>
      </c>
      <c r="T20" s="3">
        <v>1E-14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x14ac:dyDescent="0.25">
      <c r="A21" s="1" t="s">
        <v>126</v>
      </c>
      <c r="B21">
        <v>24</v>
      </c>
      <c r="E21" s="1" t="s">
        <v>62</v>
      </c>
      <c r="F21" s="16">
        <v>1</v>
      </c>
      <c r="G21" s="16"/>
      <c r="H21" s="4"/>
      <c r="I21" s="3"/>
      <c r="J21" s="3"/>
      <c r="K21" s="3"/>
      <c r="L21" s="3"/>
      <c r="M21" s="3"/>
      <c r="N21" s="3"/>
      <c r="O21" s="3"/>
      <c r="P21" s="3"/>
      <c r="Q21" s="3"/>
      <c r="R21" s="3"/>
      <c r="S21" s="3">
        <v>1E-14</v>
      </c>
      <c r="T21" s="3">
        <v>1E-14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 x14ac:dyDescent="0.25">
      <c r="A22" s="1" t="s">
        <v>127</v>
      </c>
      <c r="B22">
        <v>1</v>
      </c>
      <c r="E22" s="1" t="s">
        <v>63</v>
      </c>
      <c r="F22" s="16"/>
      <c r="G22" s="16"/>
      <c r="H22" s="4"/>
      <c r="I22" s="3"/>
      <c r="J22" s="3"/>
      <c r="K22" s="3"/>
      <c r="L22" s="3"/>
      <c r="M22" s="3"/>
      <c r="N22" s="3"/>
      <c r="O22" s="3"/>
      <c r="P22" s="3"/>
      <c r="Q22" s="3"/>
      <c r="R22" s="3"/>
      <c r="S22" s="3">
        <v>1E-14</v>
      </c>
      <c r="T22" s="3">
        <v>1E-14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 x14ac:dyDescent="0.25">
      <c r="A23" s="1" t="s">
        <v>128</v>
      </c>
      <c r="B23">
        <v>8760</v>
      </c>
      <c r="E23" s="1" t="s">
        <v>64</v>
      </c>
      <c r="F23" s="16"/>
      <c r="G23" s="16"/>
      <c r="H23" s="4"/>
      <c r="I23" s="3"/>
      <c r="J23" s="3"/>
      <c r="K23" s="3"/>
      <c r="L23" s="3"/>
      <c r="M23" s="3"/>
      <c r="N23" s="3"/>
      <c r="O23" s="3"/>
      <c r="P23" s="3"/>
      <c r="Q23" s="3"/>
      <c r="R23" s="3"/>
      <c r="S23" s="3">
        <v>1E-14</v>
      </c>
      <c r="T23" s="3">
        <v>1E-14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 x14ac:dyDescent="0.25">
      <c r="A24" s="1" t="s">
        <v>129</v>
      </c>
      <c r="B24">
        <v>1E-14</v>
      </c>
      <c r="E24" s="1" t="s">
        <v>65</v>
      </c>
      <c r="F24" s="16"/>
      <c r="G24" s="16"/>
      <c r="H24" s="4"/>
      <c r="I24" s="3"/>
      <c r="J24" s="3"/>
      <c r="K24" s="3"/>
      <c r="L24" s="3"/>
      <c r="M24" s="3"/>
      <c r="N24" s="3"/>
      <c r="O24" s="3"/>
      <c r="P24" s="3"/>
      <c r="Q24" s="3"/>
      <c r="R24" s="3"/>
      <c r="S24" s="3">
        <v>1E-14</v>
      </c>
      <c r="T24" s="3">
        <v>1E-14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x14ac:dyDescent="0.25">
      <c r="A25" s="1" t="s">
        <v>10</v>
      </c>
      <c r="B25">
        <v>0.04</v>
      </c>
      <c r="E25" s="1" t="s">
        <v>66</v>
      </c>
      <c r="F25" s="16">
        <v>1.08</v>
      </c>
      <c r="G25" s="16"/>
      <c r="H25" s="4"/>
      <c r="I25" s="3"/>
      <c r="J25" s="3"/>
      <c r="K25" s="3"/>
      <c r="L25" s="3"/>
      <c r="M25" s="3"/>
      <c r="N25" s="3"/>
      <c r="O25" s="3"/>
      <c r="P25" s="3"/>
      <c r="Q25" s="3"/>
      <c r="R25" s="3"/>
      <c r="S25" s="3">
        <v>1E-14</v>
      </c>
      <c r="T25" s="3">
        <v>1E-14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x14ac:dyDescent="0.25">
      <c r="A26" s="1" t="s">
        <v>11</v>
      </c>
      <c r="B26">
        <v>0.02</v>
      </c>
      <c r="E26" s="1" t="s">
        <v>67</v>
      </c>
      <c r="F26" s="16">
        <v>1</v>
      </c>
      <c r="G26" s="16"/>
      <c r="H26" s="4"/>
      <c r="I26" s="3"/>
      <c r="J26" s="3"/>
      <c r="K26" s="3"/>
      <c r="L26" s="3"/>
      <c r="M26" s="3"/>
      <c r="N26" s="3"/>
      <c r="O26" s="3"/>
      <c r="P26" s="3"/>
      <c r="Q26" s="3"/>
      <c r="R26" s="3"/>
      <c r="S26" s="3">
        <v>1E-14</v>
      </c>
      <c r="T26" s="3">
        <v>1E-14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 x14ac:dyDescent="0.25">
      <c r="A27" s="1" t="s">
        <v>12</v>
      </c>
      <c r="B27">
        <v>40</v>
      </c>
      <c r="E27" s="1" t="s">
        <v>163</v>
      </c>
      <c r="F27" s="16">
        <v>1.07</v>
      </c>
      <c r="G27" s="16"/>
      <c r="H27" s="4"/>
      <c r="I27" s="3"/>
      <c r="J27" s="3"/>
      <c r="K27" s="3"/>
      <c r="L27" s="3"/>
      <c r="M27" s="3"/>
      <c r="N27" s="3"/>
      <c r="O27" s="3"/>
      <c r="P27" s="3"/>
      <c r="Q27" s="3"/>
      <c r="R27" s="3"/>
      <c r="S27" s="3">
        <v>1E-14</v>
      </c>
      <c r="T27" s="3">
        <v>1E-14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 x14ac:dyDescent="0.25">
      <c r="A28" s="1" t="s">
        <v>13</v>
      </c>
      <c r="B28">
        <v>20</v>
      </c>
      <c r="E28" s="1" t="s">
        <v>68</v>
      </c>
      <c r="F28" s="16"/>
      <c r="G28" s="16"/>
      <c r="H28" s="4"/>
      <c r="I28" s="3"/>
      <c r="J28" s="3"/>
      <c r="K28" s="3"/>
      <c r="L28" s="3"/>
      <c r="M28" s="3"/>
      <c r="N28" s="3"/>
      <c r="O28" s="3"/>
      <c r="P28" s="3"/>
      <c r="Q28" s="3"/>
      <c r="R28" s="3"/>
      <c r="S28" s="3">
        <v>1E-14</v>
      </c>
      <c r="T28" s="3">
        <v>1E-14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 x14ac:dyDescent="0.25">
      <c r="A29" s="1" t="s">
        <v>17</v>
      </c>
      <c r="B29">
        <v>1</v>
      </c>
    </row>
    <row r="30" spans="1:32" x14ac:dyDescent="0.25">
      <c r="A30" s="1" t="s">
        <v>18</v>
      </c>
      <c r="B30">
        <v>0.02</v>
      </c>
      <c r="E30" s="10" t="s">
        <v>76</v>
      </c>
      <c r="F30" s="1" t="s">
        <v>121</v>
      </c>
      <c r="G30" s="1" t="s">
        <v>122</v>
      </c>
    </row>
    <row r="31" spans="1:32" x14ac:dyDescent="0.25">
      <c r="A31" s="1" t="s">
        <v>19</v>
      </c>
      <c r="B31">
        <v>1E-3</v>
      </c>
      <c r="E31" s="1" t="s">
        <v>135</v>
      </c>
      <c r="F31">
        <v>1152.0924587658137</v>
      </c>
      <c r="G31">
        <v>118.20894708415847</v>
      </c>
    </row>
    <row r="32" spans="1:32" x14ac:dyDescent="0.25">
      <c r="A32" s="1" t="s">
        <v>160</v>
      </c>
      <c r="B32">
        <v>1250000</v>
      </c>
      <c r="E32" s="1" t="s">
        <v>136</v>
      </c>
      <c r="F32">
        <v>84.478627934849015</v>
      </c>
      <c r="G32">
        <v>645.31326427841873</v>
      </c>
    </row>
    <row r="33" spans="1:20" x14ac:dyDescent="0.25">
      <c r="A33" s="1" t="s">
        <v>161</v>
      </c>
      <c r="B33">
        <v>8.0000000000000002E-3</v>
      </c>
      <c r="E33" s="1" t="s">
        <v>137</v>
      </c>
      <c r="F33">
        <v>1728.4117877865058</v>
      </c>
      <c r="G33">
        <v>19.014837029507365</v>
      </c>
    </row>
    <row r="34" spans="1:20" x14ac:dyDescent="0.25">
      <c r="A34" s="1" t="s">
        <v>20</v>
      </c>
      <c r="B34">
        <v>6</v>
      </c>
      <c r="E34" s="1"/>
    </row>
    <row r="35" spans="1:20" x14ac:dyDescent="0.25">
      <c r="A35" s="1" t="s">
        <v>21</v>
      </c>
      <c r="B35">
        <v>2</v>
      </c>
    </row>
    <row r="36" spans="1:20" x14ac:dyDescent="0.25">
      <c r="A36" s="1" t="s">
        <v>22</v>
      </c>
      <c r="B36">
        <v>5</v>
      </c>
    </row>
    <row r="37" spans="1:20" x14ac:dyDescent="0.25">
      <c r="A37" s="1" t="s">
        <v>23</v>
      </c>
      <c r="B37">
        <v>10</v>
      </c>
    </row>
    <row r="38" spans="1:20" x14ac:dyDescent="0.25">
      <c r="A38" s="1" t="s">
        <v>24</v>
      </c>
      <c r="B38">
        <v>0.15</v>
      </c>
    </row>
    <row r="39" spans="1:20" x14ac:dyDescent="0.25">
      <c r="A39" s="1" t="s">
        <v>25</v>
      </c>
      <c r="B39">
        <v>0.65</v>
      </c>
    </row>
    <row r="40" spans="1:20" x14ac:dyDescent="0.25">
      <c r="A40" s="1" t="s">
        <v>26</v>
      </c>
      <c r="B40">
        <v>1E-14</v>
      </c>
    </row>
    <row r="41" spans="1:20" x14ac:dyDescent="0.25">
      <c r="A41" s="1" t="s">
        <v>157</v>
      </c>
      <c r="B41">
        <v>1</v>
      </c>
      <c r="E41" s="14" t="s">
        <v>109</v>
      </c>
      <c r="H41" s="7"/>
      <c r="I41" s="7"/>
      <c r="J41" s="7"/>
      <c r="K41" s="7"/>
      <c r="L41" s="7"/>
      <c r="M41" s="7"/>
      <c r="N41" s="7"/>
      <c r="O41" s="7"/>
      <c r="P41" s="7"/>
    </row>
    <row r="42" spans="1:20" x14ac:dyDescent="0.25">
      <c r="A42" s="1" t="s">
        <v>27</v>
      </c>
      <c r="B42">
        <v>8.0000000000000002E-3</v>
      </c>
      <c r="E42" s="17" t="s">
        <v>113</v>
      </c>
      <c r="F42" s="15" t="s">
        <v>110</v>
      </c>
      <c r="G42" s="15" t="s">
        <v>101</v>
      </c>
      <c r="H42" s="15" t="s">
        <v>102</v>
      </c>
      <c r="I42" s="15" t="s">
        <v>112</v>
      </c>
      <c r="J42" s="15" t="s">
        <v>156</v>
      </c>
      <c r="K42" s="15" t="s">
        <v>114</v>
      </c>
      <c r="L42" s="15" t="s">
        <v>111</v>
      </c>
      <c r="M42" s="15" t="s">
        <v>103</v>
      </c>
      <c r="N42" s="15" t="s">
        <v>104</v>
      </c>
      <c r="O42" s="15" t="s">
        <v>105</v>
      </c>
      <c r="P42" s="15" t="s">
        <v>106</v>
      </c>
      <c r="Q42" s="15" t="s">
        <v>107</v>
      </c>
      <c r="R42" s="15" t="s">
        <v>108</v>
      </c>
      <c r="S42" s="15" t="s">
        <v>119</v>
      </c>
      <c r="T42" s="15" t="s">
        <v>118</v>
      </c>
    </row>
    <row r="43" spans="1:20" x14ac:dyDescent="0.25">
      <c r="A43" s="1" t="s">
        <v>158</v>
      </c>
      <c r="B43">
        <v>0.05</v>
      </c>
      <c r="E43" s="1">
        <v>556.0318244949068</v>
      </c>
      <c r="F43">
        <v>73</v>
      </c>
      <c r="G43" s="13">
        <v>1</v>
      </c>
      <c r="H43" s="8">
        <v>2025</v>
      </c>
      <c r="I43" s="8">
        <v>1E-14</v>
      </c>
      <c r="J43">
        <v>-85.55779854602963</v>
      </c>
      <c r="K43" s="3">
        <v>1E-14</v>
      </c>
      <c r="L43" s="3">
        <v>1E-14</v>
      </c>
      <c r="M43" s="3">
        <v>1E-14</v>
      </c>
      <c r="N43" s="3">
        <v>1E-14</v>
      </c>
      <c r="O43" s="3">
        <v>1E-14</v>
      </c>
      <c r="P43" s="3">
        <v>366693.59999992308</v>
      </c>
      <c r="Q43" s="3">
        <v>1E-14</v>
      </c>
      <c r="R43" s="3">
        <v>1E-14</v>
      </c>
      <c r="S43" s="3">
        <v>36646.876569868567</v>
      </c>
      <c r="T43" s="3">
        <v>12969.018842561629</v>
      </c>
    </row>
    <row r="44" spans="1:20" x14ac:dyDescent="0.25">
      <c r="A44" s="1" t="s">
        <v>28</v>
      </c>
      <c r="B44">
        <v>1E-14</v>
      </c>
      <c r="G44" s="13"/>
      <c r="H44" s="8"/>
      <c r="I44" s="8"/>
      <c r="K44" s="3"/>
      <c r="L44" s="3"/>
      <c r="M44" s="3"/>
      <c r="N44" s="3"/>
      <c r="O44" s="3"/>
      <c r="P44" s="3"/>
    </row>
    <row r="45" spans="1:20" x14ac:dyDescent="0.25">
      <c r="A45" s="1" t="s">
        <v>29</v>
      </c>
      <c r="B45">
        <v>1E-14</v>
      </c>
      <c r="E45" s="1"/>
      <c r="F45" s="8"/>
      <c r="G45" s="13"/>
      <c r="H45" s="8"/>
      <c r="I45" s="8"/>
      <c r="K45" s="3"/>
      <c r="L45" s="3"/>
      <c r="M45" s="3"/>
      <c r="N45" s="3"/>
      <c r="O45" s="3"/>
      <c r="P45" s="3"/>
    </row>
    <row r="46" spans="1:20" x14ac:dyDescent="0.25">
      <c r="A46" s="1" t="s">
        <v>30</v>
      </c>
      <c r="B46">
        <v>1E-14</v>
      </c>
      <c r="F46" s="8"/>
      <c r="G46" s="13"/>
      <c r="H46" s="8"/>
      <c r="I46" s="8"/>
      <c r="K46" s="3"/>
      <c r="L46" s="3"/>
      <c r="M46" s="3"/>
      <c r="N46" s="3"/>
      <c r="O46" s="3"/>
      <c r="P46" s="3"/>
    </row>
    <row r="47" spans="1:20" x14ac:dyDescent="0.25">
      <c r="A47" s="1" t="s">
        <v>31</v>
      </c>
      <c r="B47">
        <v>1E-14</v>
      </c>
      <c r="E47" s="1"/>
      <c r="F47" s="4"/>
      <c r="G47" s="13"/>
      <c r="H47" s="8"/>
      <c r="I47" s="8"/>
      <c r="K47" s="3"/>
      <c r="L47" s="3"/>
      <c r="M47" s="3"/>
      <c r="N47" s="3"/>
      <c r="O47" s="3"/>
      <c r="P47" s="3"/>
    </row>
    <row r="48" spans="1:20" x14ac:dyDescent="0.25">
      <c r="A48" s="1" t="s">
        <v>32</v>
      </c>
      <c r="B48">
        <v>1E-14</v>
      </c>
      <c r="E48" s="1"/>
      <c r="F48" s="4"/>
      <c r="G48" s="13"/>
      <c r="H48" s="8"/>
      <c r="I48" s="8"/>
      <c r="K48" s="3"/>
      <c r="L48" s="3"/>
      <c r="M48" s="3"/>
      <c r="N48" s="3"/>
      <c r="O48" s="3"/>
      <c r="P48" s="3"/>
    </row>
    <row r="49" spans="1:16" x14ac:dyDescent="0.25">
      <c r="A49" s="1" t="s">
        <v>33</v>
      </c>
      <c r="B49">
        <v>1</v>
      </c>
      <c r="E49" s="1"/>
      <c r="F49" s="3"/>
      <c r="G49" s="13"/>
      <c r="H49" s="8"/>
      <c r="I49" s="8"/>
      <c r="K49" s="3"/>
      <c r="L49" s="3"/>
      <c r="M49" s="3"/>
      <c r="N49" s="3"/>
      <c r="O49" s="3"/>
      <c r="P49" s="3"/>
    </row>
    <row r="50" spans="1:16" x14ac:dyDescent="0.25">
      <c r="A50" s="1" t="s">
        <v>34</v>
      </c>
      <c r="B50">
        <v>400000</v>
      </c>
      <c r="E50" s="1"/>
      <c r="F50" s="3"/>
      <c r="G50" s="13"/>
      <c r="H50" s="8"/>
      <c r="I50" s="8"/>
      <c r="K50" s="3"/>
      <c r="L50" s="3"/>
      <c r="M50" s="3"/>
      <c r="N50" s="3"/>
      <c r="O50" s="3"/>
      <c r="P50" s="3"/>
    </row>
    <row r="51" spans="1:16" x14ac:dyDescent="0.25">
      <c r="A51" s="1" t="s">
        <v>35</v>
      </c>
      <c r="B51">
        <v>-999</v>
      </c>
      <c r="E51" s="1"/>
      <c r="F51" s="3"/>
      <c r="G51" s="13"/>
      <c r="H51" s="8"/>
      <c r="I51" s="8"/>
      <c r="K51" s="3"/>
      <c r="L51" s="3"/>
      <c r="M51" s="3"/>
      <c r="N51" s="3"/>
      <c r="O51" s="3"/>
      <c r="P51" s="3"/>
    </row>
    <row r="52" spans="1:16" x14ac:dyDescent="0.25">
      <c r="A52" s="1" t="s">
        <v>138</v>
      </c>
      <c r="B52">
        <v>520000</v>
      </c>
      <c r="E52" s="1"/>
      <c r="F52" s="3"/>
      <c r="G52" s="13"/>
      <c r="H52" s="8"/>
      <c r="I52" s="8"/>
      <c r="K52" s="3"/>
      <c r="L52" s="3"/>
      <c r="M52" s="3"/>
      <c r="N52" s="3"/>
      <c r="O52" s="3"/>
      <c r="P52" s="3"/>
    </row>
    <row r="53" spans="1:16" x14ac:dyDescent="0.25">
      <c r="A53" s="1" t="s">
        <v>36</v>
      </c>
      <c r="B53">
        <v>2019</v>
      </c>
      <c r="E53" s="1"/>
      <c r="F53" s="3"/>
      <c r="G53" s="13"/>
      <c r="H53" s="8"/>
      <c r="I53" s="8"/>
      <c r="K53" s="3"/>
      <c r="L53" s="3"/>
      <c r="M53" s="3"/>
      <c r="N53" s="3"/>
      <c r="O53" s="3"/>
      <c r="P53" s="3"/>
    </row>
    <row r="54" spans="1:16" x14ac:dyDescent="0.25">
      <c r="A54" s="1" t="s">
        <v>139</v>
      </c>
      <c r="B54">
        <v>2019</v>
      </c>
      <c r="E54" s="1"/>
      <c r="F54" s="3"/>
    </row>
    <row r="55" spans="1:16" x14ac:dyDescent="0.25">
      <c r="A55" s="1" t="s">
        <v>37</v>
      </c>
      <c r="B55">
        <v>2019</v>
      </c>
    </row>
    <row r="56" spans="1:16" x14ac:dyDescent="0.25">
      <c r="A56" s="1" t="s">
        <v>38</v>
      </c>
      <c r="B56">
        <v>14</v>
      </c>
    </row>
    <row r="57" spans="1:16" x14ac:dyDescent="0.25">
      <c r="A57" s="1" t="s">
        <v>39</v>
      </c>
      <c r="B57">
        <v>9</v>
      </c>
    </row>
    <row r="58" spans="1:16" x14ac:dyDescent="0.25">
      <c r="A58" s="1" t="s">
        <v>40</v>
      </c>
      <c r="B58">
        <v>10</v>
      </c>
    </row>
    <row r="59" spans="1:16" x14ac:dyDescent="0.25">
      <c r="A59" s="1" t="s">
        <v>41</v>
      </c>
      <c r="B59">
        <v>1E-14</v>
      </c>
    </row>
    <row r="60" spans="1:16" x14ac:dyDescent="0.25">
      <c r="A60" s="1" t="s">
        <v>42</v>
      </c>
      <c r="B60">
        <v>1</v>
      </c>
    </row>
    <row r="61" spans="1:16" x14ac:dyDescent="0.25">
      <c r="A61" s="1" t="s">
        <v>43</v>
      </c>
      <c r="B61">
        <v>5</v>
      </c>
    </row>
    <row r="62" spans="1:16" x14ac:dyDescent="0.25">
      <c r="A62" s="1" t="s">
        <v>44</v>
      </c>
      <c r="B62">
        <v>1</v>
      </c>
    </row>
    <row r="63" spans="1:16" x14ac:dyDescent="0.25">
      <c r="A63" s="1" t="s">
        <v>45</v>
      </c>
      <c r="B63">
        <v>1E-14</v>
      </c>
    </row>
    <row r="64" spans="1:16" x14ac:dyDescent="0.25">
      <c r="A64" s="1" t="s">
        <v>46</v>
      </c>
      <c r="B64">
        <v>1E-14</v>
      </c>
    </row>
    <row r="65" spans="1:2" x14ac:dyDescent="0.25">
      <c r="A65" s="1" t="s">
        <v>47</v>
      </c>
      <c r="B65">
        <v>1E-14</v>
      </c>
    </row>
    <row r="66" spans="1:2" x14ac:dyDescent="0.25">
      <c r="A66" s="1" t="s">
        <v>48</v>
      </c>
      <c r="B66">
        <v>1E-14</v>
      </c>
    </row>
    <row r="67" spans="1:2" x14ac:dyDescent="0.25">
      <c r="A67" s="1" t="s">
        <v>49</v>
      </c>
      <c r="B67">
        <v>1E-14</v>
      </c>
    </row>
    <row r="68" spans="1:2" x14ac:dyDescent="0.25">
      <c r="A68" s="1" t="s">
        <v>50</v>
      </c>
      <c r="B68">
        <v>1E-14</v>
      </c>
    </row>
    <row r="69" spans="1:2" x14ac:dyDescent="0.25">
      <c r="A69" s="1" t="s">
        <v>51</v>
      </c>
      <c r="B69">
        <v>999</v>
      </c>
    </row>
    <row r="70" spans="1:2" x14ac:dyDescent="0.25">
      <c r="A70" s="6" t="s">
        <v>90</v>
      </c>
      <c r="B70" s="2"/>
    </row>
    <row r="71" spans="1:2" x14ac:dyDescent="0.25">
      <c r="A71" s="1" t="s">
        <v>100</v>
      </c>
      <c r="B71">
        <v>45021.517820219909</v>
      </c>
    </row>
    <row r="72" spans="1:2" x14ac:dyDescent="0.25">
      <c r="A72" s="1" t="s">
        <v>77</v>
      </c>
      <c r="B72">
        <v>8</v>
      </c>
    </row>
    <row r="73" spans="1:2" x14ac:dyDescent="0.25">
      <c r="A73" s="1" t="s">
        <v>78</v>
      </c>
      <c r="B73" s="8">
        <v>1</v>
      </c>
    </row>
    <row r="74" spans="1:2" x14ac:dyDescent="0.25">
      <c r="A74" s="1" t="s">
        <v>79</v>
      </c>
      <c r="B74" s="8">
        <v>3.9269997971132398</v>
      </c>
    </row>
    <row r="75" spans="1:2" x14ac:dyDescent="0.25">
      <c r="A75" s="1" t="s">
        <v>80</v>
      </c>
      <c r="B75">
        <v>3.0480000888928771</v>
      </c>
    </row>
    <row r="76" spans="1:2" x14ac:dyDescent="0.25">
      <c r="A76" s="1" t="s">
        <v>81</v>
      </c>
      <c r="B76">
        <v>15334</v>
      </c>
    </row>
    <row r="77" spans="1:2" x14ac:dyDescent="0.25">
      <c r="A77" s="1" t="s">
        <v>82</v>
      </c>
      <c r="B77">
        <v>145700</v>
      </c>
    </row>
    <row r="78" spans="1:2" x14ac:dyDescent="0.25">
      <c r="A78" s="1" t="s">
        <v>83</v>
      </c>
      <c r="B78">
        <v>12775</v>
      </c>
    </row>
    <row r="79" spans="1:2" x14ac:dyDescent="0.25">
      <c r="A79" s="1" t="s">
        <v>84</v>
      </c>
      <c r="B79">
        <v>156270</v>
      </c>
    </row>
    <row r="80" spans="1:2" x14ac:dyDescent="0.25">
      <c r="A80" s="1" t="s">
        <v>85</v>
      </c>
      <c r="B80" s="9">
        <v>1E-14</v>
      </c>
    </row>
    <row r="81" spans="1:2" x14ac:dyDescent="0.25">
      <c r="A81" s="1" t="s">
        <v>86</v>
      </c>
      <c r="B81" s="9">
        <v>-6.4866857797501822</v>
      </c>
    </row>
    <row r="82" spans="1:2" x14ac:dyDescent="0.25">
      <c r="A82" s="1" t="s">
        <v>87</v>
      </c>
      <c r="B82" s="9">
        <v>-6.350632533495089</v>
      </c>
    </row>
    <row r="83" spans="1:2" x14ac:dyDescent="0.25">
      <c r="A83" s="1" t="s">
        <v>88</v>
      </c>
      <c r="B83">
        <v>-2.1423574035737136E-2</v>
      </c>
    </row>
    <row r="84" spans="1:2" x14ac:dyDescent="0.25">
      <c r="A84" s="1" t="s">
        <v>89</v>
      </c>
      <c r="B84">
        <v>1E-14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B. Laursen</dc:creator>
  <cp:lastModifiedBy>Mogens B. Laursen</cp:lastModifiedBy>
  <dcterms:created xsi:type="dcterms:W3CDTF">2022-08-23T15:09:00Z</dcterms:created>
  <dcterms:modified xsi:type="dcterms:W3CDTF">2023-04-05T10:25:45Z</dcterms:modified>
</cp:coreProperties>
</file>